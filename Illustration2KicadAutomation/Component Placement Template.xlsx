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e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SymbolLookup" sheetId="3" state="hidden" r:id="rId3"/>
  </sheets>
  <definedNames>
    <definedName name="Pot">'Options'!$A$2:$A$23</definedName>
    <definedName name="Jack">'Options'!$B$2:$B$13</definedName>
    <definedName name="LED">'Options'!$C$2:$C$13</definedName>
    <definedName name="Button">'Options'!$D$2:$D$17</definedName>
    <definedName name="Switch">'Options'!$E$2:$E$13</definedName>
    <definedName name="Standoff">'Options'!$F$2:$F$7</definedName>
    <definedName name="Connector">'Options'!$G$2:$G$7</definedName>
    <definedName name="Silk">'Options'!$H$2:$H$2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i val="1"/>
      <color rgb="00999999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0" fontId="4" fillId="5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8" customWidth="1" min="5" max="5"/>
    <col width="32" customWidth="1" min="6" max="6"/>
    <col width="45" customWidth="1" min="7" max="7"/>
    <col width="35" customWidth="1" min="8" max="8"/>
  </cols>
  <sheetData>
    <row r="1" ht="22" customHeight="1">
      <c r="A1" s="1" t="inlineStr">
        <is>
          <t>Ref</t>
        </is>
      </c>
      <c r="B1" s="1" t="inlineStr">
        <is>
          <t>Display 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Component Type</t>
        </is>
      </c>
      <c r="F1" s="1" t="inlineStr">
        <is>
          <t>Subtype</t>
        </is>
      </c>
      <c r="G1" s="1" t="inlineStr">
        <is>
          <t>KiCad Symbol</t>
        </is>
      </c>
      <c r="H1" s="1" t="inlineStr">
        <is>
          <t>Notes</t>
        </is>
      </c>
    </row>
    <row r="2">
      <c r="A2" s="2">
        <f>IF(E2="","",IFERROR(CHOOSE(MATCH(E2,{"Pot","Jack","LED","Button","Switch","Standoff","Connector","Silk"},0),"POT","J","LED","BUT","SW","H","J",""),"")&amp;TEXT(COUNTIF($E$2:E2,E2),"00"))</f>
        <v/>
      </c>
      <c r="B2" s="3" t="n"/>
      <c r="C2" s="4" t="n"/>
      <c r="D2" s="4" t="n"/>
      <c r="E2" s="3" t="n"/>
      <c r="F2" s="3" t="n"/>
      <c r="G2" s="5">
        <f>IFERROR(VLOOKUP(F2,SymbolLookup!$A:$B,2,0),"")</f>
        <v/>
      </c>
      <c r="H2" s="3" t="n"/>
    </row>
    <row r="3">
      <c r="A3" s="2">
        <f>IF(E3="","",IFERROR(CHOOSE(MATCH(E3,{"Pot","Jack","LED","Button","Switch","Standoff","Connector","Silk"},0),"POT","J","LED","BUT","SW","H","J",""),"")&amp;TEXT(COUNTIF($E$2:E3,E3),"00"))</f>
        <v/>
      </c>
      <c r="B3" s="3" t="n"/>
      <c r="C3" s="4" t="n"/>
      <c r="D3" s="4" t="n"/>
      <c r="E3" s="3" t="n"/>
      <c r="F3" s="3" t="n"/>
      <c r="G3" s="5">
        <f>IFERROR(VLOOKUP(F3,SymbolLookup!$A:$B,2,0),"")</f>
        <v/>
      </c>
      <c r="H3" s="3" t="n"/>
    </row>
    <row r="4">
      <c r="A4" s="2">
        <f>IF(E4="","",IFERROR(CHOOSE(MATCH(E4,{"Pot","Jack","LED","Button","Switch","Standoff","Connector","Silk"},0),"POT","J","LED","BUT","SW","H","J",""),"")&amp;TEXT(COUNTIF($E$2:E4,E4),"00"))</f>
        <v/>
      </c>
      <c r="B4" s="3" t="n"/>
      <c r="C4" s="4" t="n"/>
      <c r="D4" s="4" t="n"/>
      <c r="E4" s="3" t="n"/>
      <c r="F4" s="3" t="n"/>
      <c r="G4" s="5">
        <f>IFERROR(VLOOKUP(F4,SymbolLookup!$A:$B,2,0),"")</f>
        <v/>
      </c>
      <c r="H4" s="3" t="n"/>
    </row>
    <row r="5">
      <c r="A5" s="2">
        <f>IF(E5="","",IFERROR(CHOOSE(MATCH(E5,{"Pot","Jack","LED","Button","Switch","Standoff","Connector","Silk"},0),"POT","J","LED","BUT","SW","H","J",""),"")&amp;TEXT(COUNTIF($E$2:E5,E5),"00"))</f>
        <v/>
      </c>
      <c r="B5" s="3" t="n"/>
      <c r="C5" s="4" t="n"/>
      <c r="D5" s="4" t="n"/>
      <c r="E5" s="3" t="n"/>
      <c r="F5" s="3" t="n"/>
      <c r="G5" s="5">
        <f>IFERROR(VLOOKUP(F5,SymbolLookup!$A:$B,2,0),"")</f>
        <v/>
      </c>
      <c r="H5" s="3" t="n"/>
    </row>
    <row r="6">
      <c r="A6" s="2">
        <f>IF(E6="","",IFERROR(CHOOSE(MATCH(E6,{"Pot","Jack","LED","Button","Switch","Standoff","Connector","Silk"},0),"POT","J","LED","BUT","SW","H","J",""),"")&amp;TEXT(COUNTIF($E$2:E6,E6),"00"))</f>
        <v/>
      </c>
      <c r="B6" s="3" t="n"/>
      <c r="C6" s="4" t="n"/>
      <c r="D6" s="4" t="n"/>
      <c r="E6" s="3" t="n"/>
      <c r="F6" s="3" t="n"/>
      <c r="G6" s="5">
        <f>IFERROR(VLOOKUP(F6,SymbolLookup!$A:$B,2,0),"")</f>
        <v/>
      </c>
      <c r="H6" s="3" t="n"/>
    </row>
    <row r="7">
      <c r="A7" s="2">
        <f>IF(E7="","",IFERROR(CHOOSE(MATCH(E7,{"Pot","Jack","LED","Button","Switch","Standoff","Connector","Silk"},0),"POT","J","LED","BUT","SW","H","J",""),"")&amp;TEXT(COUNTIF($E$2:E7,E7),"00"))</f>
        <v/>
      </c>
      <c r="B7" s="3" t="n"/>
      <c r="C7" s="4" t="n"/>
      <c r="D7" s="4" t="n"/>
      <c r="E7" s="3" t="n"/>
      <c r="F7" s="3" t="n"/>
      <c r="G7" s="5">
        <f>IFERROR(VLOOKUP(F7,SymbolLookup!$A:$B,2,0),"")</f>
        <v/>
      </c>
      <c r="H7" s="3" t="n"/>
    </row>
    <row r="8">
      <c r="A8" s="2">
        <f>IF(E8="","",IFERROR(CHOOSE(MATCH(E8,{"Pot","Jack","LED","Button","Switch","Standoff","Connector","Silk"},0),"POT","J","LED","BUT","SW","H","J",""),"")&amp;TEXT(COUNTIF($E$2:E8,E8),"00"))</f>
        <v/>
      </c>
      <c r="B8" s="3" t="n"/>
      <c r="C8" s="4" t="n"/>
      <c r="D8" s="4" t="n"/>
      <c r="E8" s="3" t="n"/>
      <c r="F8" s="3" t="n"/>
      <c r="G8" s="5">
        <f>IFERROR(VLOOKUP(F8,SymbolLookup!$A:$B,2,0),"")</f>
        <v/>
      </c>
      <c r="H8" s="3" t="n"/>
    </row>
    <row r="9">
      <c r="A9" s="2">
        <f>IF(E9="","",IFERROR(CHOOSE(MATCH(E9,{"Pot","Jack","LED","Button","Switch","Standoff","Connector","Silk"},0),"POT","J","LED","BUT","SW","H","J",""),"")&amp;TEXT(COUNTIF($E$2:E9,E9),"00"))</f>
        <v/>
      </c>
      <c r="B9" s="3" t="n"/>
      <c r="C9" s="4" t="n"/>
      <c r="D9" s="4" t="n"/>
      <c r="E9" s="3" t="n"/>
      <c r="F9" s="3" t="n"/>
      <c r="G9" s="5">
        <f>IFERROR(VLOOKUP(F9,SymbolLookup!$A:$B,2,0),"")</f>
        <v/>
      </c>
      <c r="H9" s="3" t="n"/>
    </row>
    <row r="10">
      <c r="A10" s="2">
        <f>IF(E10="","",IFERROR(CHOOSE(MATCH(E10,{"Pot","Jack","LED","Button","Switch","Standoff","Connector","Silk"},0),"POT","J","LED","BUT","SW","H","J",""),"")&amp;TEXT(COUNTIF($E$2:E10,E10),"00"))</f>
        <v/>
      </c>
      <c r="B10" s="3" t="n"/>
      <c r="C10" s="4" t="n"/>
      <c r="D10" s="4" t="n"/>
      <c r="E10" s="3" t="n"/>
      <c r="F10" s="3" t="n"/>
      <c r="G10" s="5">
        <f>IFERROR(VLOOKUP(F10,SymbolLookup!$A:$B,2,0),"")</f>
        <v/>
      </c>
      <c r="H10" s="3" t="n"/>
    </row>
    <row r="11">
      <c r="A11" s="2">
        <f>IF(E11="","",IFERROR(CHOOSE(MATCH(E11,{"Pot","Jack","LED","Button","Switch","Standoff","Connector","Silk"},0),"POT","J","LED","BUT","SW","H","J",""),"")&amp;TEXT(COUNTIF($E$2:E11,E11),"00"))</f>
        <v/>
      </c>
      <c r="B11" s="3" t="n"/>
      <c r="C11" s="4" t="n"/>
      <c r="D11" s="4" t="n"/>
      <c r="E11" s="3" t="n"/>
      <c r="F11" s="3" t="n"/>
      <c r="G11" s="5">
        <f>IFERROR(VLOOKUP(F11,SymbolLookup!$A:$B,2,0),"")</f>
        <v/>
      </c>
      <c r="H11" s="3" t="n"/>
    </row>
    <row r="12">
      <c r="A12" s="2">
        <f>IF(E12="","",IFERROR(CHOOSE(MATCH(E12,{"Pot","Jack","LED","Button","Switch","Standoff","Connector","Silk"},0),"POT","J","LED","BUT","SW","H","J",""),"")&amp;TEXT(COUNTIF($E$2:E12,E12),"00"))</f>
        <v/>
      </c>
      <c r="B12" s="3" t="n"/>
      <c r="C12" s="4" t="n"/>
      <c r="D12" s="4" t="n"/>
      <c r="E12" s="3" t="n"/>
      <c r="F12" s="3" t="n"/>
      <c r="G12" s="5">
        <f>IFERROR(VLOOKUP(F12,SymbolLookup!$A:$B,2,0),"")</f>
        <v/>
      </c>
      <c r="H12" s="3" t="n"/>
    </row>
    <row r="13">
      <c r="A13" s="2">
        <f>IF(E13="","",IFERROR(CHOOSE(MATCH(E13,{"Pot","Jack","LED","Button","Switch","Standoff","Connector","Silk"},0),"POT","J","LED","BUT","SW","H","J",""),"")&amp;TEXT(COUNTIF($E$2:E13,E13),"00"))</f>
        <v/>
      </c>
      <c r="B13" s="3" t="n"/>
      <c r="C13" s="4" t="n"/>
      <c r="D13" s="4" t="n"/>
      <c r="E13" s="3" t="n"/>
      <c r="F13" s="3" t="n"/>
      <c r="G13" s="5">
        <f>IFERROR(VLOOKUP(F13,SymbolLookup!$A:$B,2,0),"")</f>
        <v/>
      </c>
      <c r="H13" s="3" t="n"/>
    </row>
    <row r="14">
      <c r="A14" s="2">
        <f>IF(E14="","",IFERROR(CHOOSE(MATCH(E14,{"Pot","Jack","LED","Button","Switch","Standoff","Connector","Silk"},0),"POT","J","LED","BUT","SW","H","J",""),"")&amp;TEXT(COUNTIF($E$2:E14,E14),"00"))</f>
        <v/>
      </c>
      <c r="B14" s="3" t="n"/>
      <c r="C14" s="4" t="n"/>
      <c r="D14" s="4" t="n"/>
      <c r="E14" s="3" t="n"/>
      <c r="F14" s="3" t="n"/>
      <c r="G14" s="5">
        <f>IFERROR(VLOOKUP(F14,SymbolLookup!$A:$B,2,0),"")</f>
        <v/>
      </c>
      <c r="H14" s="3" t="n"/>
    </row>
    <row r="15">
      <c r="A15" s="2">
        <f>IF(E15="","",IFERROR(CHOOSE(MATCH(E15,{"Pot","Jack","LED","Button","Switch","Standoff","Connector","Silk"},0),"POT","J","LED","BUT","SW","H","J",""),"")&amp;TEXT(COUNTIF($E$2:E15,E15),"00"))</f>
        <v/>
      </c>
      <c r="B15" s="3" t="n"/>
      <c r="C15" s="4" t="n"/>
      <c r="D15" s="4" t="n"/>
      <c r="E15" s="3" t="n"/>
      <c r="F15" s="3" t="n"/>
      <c r="G15" s="5">
        <f>IFERROR(VLOOKUP(F15,SymbolLookup!$A:$B,2,0),"")</f>
        <v/>
      </c>
      <c r="H15" s="3" t="n"/>
    </row>
    <row r="16">
      <c r="A16" s="2">
        <f>IF(E16="","",IFERROR(CHOOSE(MATCH(E16,{"Pot","Jack","LED","Button","Switch","Standoff","Connector","Silk"},0),"POT","J","LED","BUT","SW","H","J",""),"")&amp;TEXT(COUNTIF($E$2:E16,E16),"00"))</f>
        <v/>
      </c>
      <c r="B16" s="3" t="n"/>
      <c r="C16" s="4" t="n"/>
      <c r="D16" s="4" t="n"/>
      <c r="E16" s="3" t="n"/>
      <c r="F16" s="3" t="n"/>
      <c r="G16" s="5">
        <f>IFERROR(VLOOKUP(F16,SymbolLookup!$A:$B,2,0),"")</f>
        <v/>
      </c>
      <c r="H16" s="3" t="n"/>
    </row>
    <row r="17">
      <c r="A17" s="2">
        <f>IF(E17="","",IFERROR(CHOOSE(MATCH(E17,{"Pot","Jack","LED","Button","Switch","Standoff","Connector","Silk"},0),"POT","J","LED","BUT","SW","H","J",""),"")&amp;TEXT(COUNTIF($E$2:E17,E17),"00"))</f>
        <v/>
      </c>
      <c r="B17" s="3" t="n"/>
      <c r="C17" s="4" t="n"/>
      <c r="D17" s="4" t="n"/>
      <c r="E17" s="3" t="n"/>
      <c r="F17" s="3" t="n"/>
      <c r="G17" s="5">
        <f>IFERROR(VLOOKUP(F17,SymbolLookup!$A:$B,2,0),"")</f>
        <v/>
      </c>
      <c r="H17" s="3" t="n"/>
    </row>
    <row r="18">
      <c r="A18" s="2">
        <f>IF(E18="","",IFERROR(CHOOSE(MATCH(E18,{"Pot","Jack","LED","Button","Switch","Standoff","Connector","Silk"},0),"POT","J","LED","BUT","SW","H","J",""),"")&amp;TEXT(COUNTIF($E$2:E18,E18),"00"))</f>
        <v/>
      </c>
      <c r="B18" s="3" t="n"/>
      <c r="C18" s="4" t="n"/>
      <c r="D18" s="4" t="n"/>
      <c r="E18" s="3" t="n"/>
      <c r="F18" s="3" t="n"/>
      <c r="G18" s="5">
        <f>IFERROR(VLOOKUP(F18,SymbolLookup!$A:$B,2,0),"")</f>
        <v/>
      </c>
      <c r="H18" s="3" t="n"/>
    </row>
    <row r="19">
      <c r="A19" s="2">
        <f>IF(E19="","",IFERROR(CHOOSE(MATCH(E19,{"Pot","Jack","LED","Button","Switch","Standoff","Connector","Silk"},0),"POT","J","LED","BUT","SW","H","J",""),"")&amp;TEXT(COUNTIF($E$2:E19,E19),"00"))</f>
        <v/>
      </c>
      <c r="B19" s="3" t="n"/>
      <c r="C19" s="4" t="n"/>
      <c r="D19" s="4" t="n"/>
      <c r="E19" s="3" t="n"/>
      <c r="F19" s="3" t="n"/>
      <c r="G19" s="5">
        <f>IFERROR(VLOOKUP(F19,SymbolLookup!$A:$B,2,0),"")</f>
        <v/>
      </c>
      <c r="H19" s="3" t="n"/>
    </row>
    <row r="20">
      <c r="A20" s="2">
        <f>IF(E20="","",IFERROR(CHOOSE(MATCH(E20,{"Pot","Jack","LED","Button","Switch","Standoff","Connector","Silk"},0),"POT","J","LED","BUT","SW","H","J",""),"")&amp;TEXT(COUNTIF($E$2:E20,E20),"00"))</f>
        <v/>
      </c>
      <c r="B20" s="3" t="n"/>
      <c r="C20" s="4" t="n"/>
      <c r="D20" s="4" t="n"/>
      <c r="E20" s="3" t="n"/>
      <c r="F20" s="3" t="n"/>
      <c r="G20" s="5">
        <f>IFERROR(VLOOKUP(F20,SymbolLookup!$A:$B,2,0),"")</f>
        <v/>
      </c>
      <c r="H20" s="3" t="n"/>
    </row>
    <row r="21">
      <c r="A21" s="2">
        <f>IF(E21="","",IFERROR(CHOOSE(MATCH(E21,{"Pot","Jack","LED","Button","Switch","Standoff","Connector","Silk"},0),"POT","J","LED","BUT","SW","H","J",""),"")&amp;TEXT(COUNTIF($E$2:E21,E21),"00"))</f>
        <v/>
      </c>
      <c r="B21" s="3" t="n"/>
      <c r="C21" s="4" t="n"/>
      <c r="D21" s="4" t="n"/>
      <c r="E21" s="3" t="n"/>
      <c r="F21" s="3" t="n"/>
      <c r="G21" s="5">
        <f>IFERROR(VLOOKUP(F21,SymbolLookup!$A:$B,2,0),"")</f>
        <v/>
      </c>
      <c r="H21" s="3" t="n"/>
    </row>
    <row r="22">
      <c r="A22" s="2">
        <f>IF(E22="","",IFERROR(CHOOSE(MATCH(E22,{"Pot","Jack","LED","Button","Switch","Standoff","Connector","Silk"},0),"POT","J","LED","BUT","SW","H","J",""),"")&amp;TEXT(COUNTIF($E$2:E22,E22),"00"))</f>
        <v/>
      </c>
      <c r="B22" s="3" t="n"/>
      <c r="C22" s="4" t="n"/>
      <c r="D22" s="4" t="n"/>
      <c r="E22" s="3" t="n"/>
      <c r="F22" s="3" t="n"/>
      <c r="G22" s="5">
        <f>IFERROR(VLOOKUP(F22,SymbolLookup!$A:$B,2,0),"")</f>
        <v/>
      </c>
      <c r="H22" s="3" t="n"/>
    </row>
    <row r="23">
      <c r="A23" s="2">
        <f>IF(E23="","",IFERROR(CHOOSE(MATCH(E23,{"Pot","Jack","LED","Button","Switch","Standoff","Connector","Silk"},0),"POT","J","LED","BUT","SW","H","J",""),"")&amp;TEXT(COUNTIF($E$2:E23,E23),"00"))</f>
        <v/>
      </c>
      <c r="B23" s="3" t="n"/>
      <c r="C23" s="4" t="n"/>
      <c r="D23" s="4" t="n"/>
      <c r="E23" s="3" t="n"/>
      <c r="F23" s="3" t="n"/>
      <c r="G23" s="5">
        <f>IFERROR(VLOOKUP(F23,SymbolLookup!$A:$B,2,0),"")</f>
        <v/>
      </c>
      <c r="H23" s="3" t="n"/>
    </row>
    <row r="24">
      <c r="A24" s="2">
        <f>IF(E24="","",IFERROR(CHOOSE(MATCH(E24,{"Pot","Jack","LED","Button","Switch","Standoff","Connector","Silk"},0),"POT","J","LED","BUT","SW","H","J",""),"")&amp;TEXT(COUNTIF($E$2:E24,E24),"00"))</f>
        <v/>
      </c>
      <c r="B24" s="3" t="n"/>
      <c r="C24" s="4" t="n"/>
      <c r="D24" s="4" t="n"/>
      <c r="E24" s="3" t="n"/>
      <c r="F24" s="3" t="n"/>
      <c r="G24" s="5">
        <f>IFERROR(VLOOKUP(F24,SymbolLookup!$A:$B,2,0),"")</f>
        <v/>
      </c>
      <c r="H24" s="3" t="n"/>
    </row>
    <row r="25">
      <c r="A25" s="2">
        <f>IF(E25="","",IFERROR(CHOOSE(MATCH(E25,{"Pot","Jack","LED","Button","Switch","Standoff","Connector","Silk"},0),"POT","J","LED","BUT","SW","H","J",""),"")&amp;TEXT(COUNTIF($E$2:E25,E25),"00"))</f>
        <v/>
      </c>
      <c r="B25" s="3" t="n"/>
      <c r="C25" s="4" t="n"/>
      <c r="D25" s="4" t="n"/>
      <c r="E25" s="3" t="n"/>
      <c r="F25" s="3" t="n"/>
      <c r="G25" s="5">
        <f>IFERROR(VLOOKUP(F25,SymbolLookup!$A:$B,2,0),"")</f>
        <v/>
      </c>
      <c r="H25" s="3" t="n"/>
    </row>
    <row r="26">
      <c r="A26" s="2">
        <f>IF(E26="","",IFERROR(CHOOSE(MATCH(E26,{"Pot","Jack","LED","Button","Switch","Standoff","Connector","Silk"},0),"POT","J","LED","BUT","SW","H","J",""),"")&amp;TEXT(COUNTIF($E$2:E26,E26),"00"))</f>
        <v/>
      </c>
      <c r="B26" s="3" t="n"/>
      <c r="C26" s="4" t="n"/>
      <c r="D26" s="4" t="n"/>
      <c r="E26" s="3" t="n"/>
      <c r="F26" s="3" t="n"/>
      <c r="G26" s="5">
        <f>IFERROR(VLOOKUP(F26,SymbolLookup!$A:$B,2,0),"")</f>
        <v/>
      </c>
      <c r="H26" s="3" t="n"/>
    </row>
    <row r="27">
      <c r="A27" s="2">
        <f>IF(E27="","",IFERROR(CHOOSE(MATCH(E27,{"Pot","Jack","LED","Button","Switch","Standoff","Connector","Silk"},0),"POT","J","LED","BUT","SW","H","J",""),"")&amp;TEXT(COUNTIF($E$2:E27,E27),"00"))</f>
        <v/>
      </c>
      <c r="B27" s="3" t="n"/>
      <c r="C27" s="4" t="n"/>
      <c r="D27" s="4" t="n"/>
      <c r="E27" s="3" t="n"/>
      <c r="F27" s="3" t="n"/>
      <c r="G27" s="5">
        <f>IFERROR(VLOOKUP(F27,SymbolLookup!$A:$B,2,0),"")</f>
        <v/>
      </c>
      <c r="H27" s="3" t="n"/>
    </row>
    <row r="28">
      <c r="A28" s="2">
        <f>IF(E28="","",IFERROR(CHOOSE(MATCH(E28,{"Pot","Jack","LED","Button","Switch","Standoff","Connector","Silk"},0),"POT","J","LED","BUT","SW","H","J",""),"")&amp;TEXT(COUNTIF($E$2:E28,E28),"00"))</f>
        <v/>
      </c>
      <c r="B28" s="3" t="n"/>
      <c r="C28" s="4" t="n"/>
      <c r="D28" s="4" t="n"/>
      <c r="E28" s="3" t="n"/>
      <c r="F28" s="3" t="n"/>
      <c r="G28" s="5">
        <f>IFERROR(VLOOKUP(F28,SymbolLookup!$A:$B,2,0),"")</f>
        <v/>
      </c>
      <c r="H28" s="3" t="n"/>
    </row>
    <row r="29">
      <c r="A29" s="2">
        <f>IF(E29="","",IFERROR(CHOOSE(MATCH(E29,{"Pot","Jack","LED","Button","Switch","Standoff","Connector","Silk"},0),"POT","J","LED","BUT","SW","H","J",""),"")&amp;TEXT(COUNTIF($E$2:E29,E29),"00"))</f>
        <v/>
      </c>
      <c r="B29" s="3" t="n"/>
      <c r="C29" s="4" t="n"/>
      <c r="D29" s="4" t="n"/>
      <c r="E29" s="3" t="n"/>
      <c r="F29" s="3" t="n"/>
      <c r="G29" s="5">
        <f>IFERROR(VLOOKUP(F29,SymbolLookup!$A:$B,2,0),"")</f>
        <v/>
      </c>
      <c r="H29" s="3" t="n"/>
    </row>
    <row r="30">
      <c r="A30" s="2">
        <f>IF(E30="","",IFERROR(CHOOSE(MATCH(E30,{"Pot","Jack","LED","Button","Switch","Standoff","Connector","Silk"},0),"POT","J","LED","BUT","SW","H","J",""),"")&amp;TEXT(COUNTIF($E$2:E30,E30),"00"))</f>
        <v/>
      </c>
      <c r="B30" s="3" t="n"/>
      <c r="C30" s="4" t="n"/>
      <c r="D30" s="4" t="n"/>
      <c r="E30" s="3" t="n"/>
      <c r="F30" s="3" t="n"/>
      <c r="G30" s="5">
        <f>IFERROR(VLOOKUP(F30,SymbolLookup!$A:$B,2,0),"")</f>
        <v/>
      </c>
      <c r="H30" s="3" t="n"/>
    </row>
    <row r="31">
      <c r="A31" s="2">
        <f>IF(E31="","",IFERROR(CHOOSE(MATCH(E31,{"Pot","Jack","LED","Button","Switch","Standoff","Connector","Silk"},0),"POT","J","LED","BUT","SW","H","J",""),"")&amp;TEXT(COUNTIF($E$2:E31,E31),"00"))</f>
        <v/>
      </c>
      <c r="B31" s="3" t="n"/>
      <c r="C31" s="4" t="n"/>
      <c r="D31" s="4" t="n"/>
      <c r="E31" s="3" t="n"/>
      <c r="F31" s="3" t="n"/>
      <c r="G31" s="5">
        <f>IFERROR(VLOOKUP(F31,SymbolLookup!$A:$B,2,0),"")</f>
        <v/>
      </c>
      <c r="H31" s="3" t="n"/>
    </row>
    <row r="32">
      <c r="A32" s="2">
        <f>IF(E32="","",IFERROR(CHOOSE(MATCH(E32,{"Pot","Jack","LED","Button","Switch","Standoff","Connector","Silk"},0),"POT","J","LED","BUT","SW","H","J",""),"")&amp;TEXT(COUNTIF($E$2:E32,E32),"00"))</f>
        <v/>
      </c>
      <c r="B32" s="3" t="n"/>
      <c r="C32" s="4" t="n"/>
      <c r="D32" s="4" t="n"/>
      <c r="E32" s="3" t="n"/>
      <c r="F32" s="3" t="n"/>
      <c r="G32" s="5">
        <f>IFERROR(VLOOKUP(F32,SymbolLookup!$A:$B,2,0),"")</f>
        <v/>
      </c>
      <c r="H32" s="3" t="n"/>
    </row>
    <row r="33">
      <c r="A33" s="2">
        <f>IF(E33="","",IFERROR(CHOOSE(MATCH(E33,{"Pot","Jack","LED","Button","Switch","Standoff","Connector","Silk"},0),"POT","J","LED","BUT","SW","H","J",""),"")&amp;TEXT(COUNTIF($E$2:E33,E33),"00"))</f>
        <v/>
      </c>
      <c r="B33" s="3" t="n"/>
      <c r="C33" s="4" t="n"/>
      <c r="D33" s="4" t="n"/>
      <c r="E33" s="3" t="n"/>
      <c r="F33" s="3" t="n"/>
      <c r="G33" s="5">
        <f>IFERROR(VLOOKUP(F33,SymbolLookup!$A:$B,2,0),"")</f>
        <v/>
      </c>
      <c r="H33" s="3" t="n"/>
    </row>
    <row r="34">
      <c r="A34" s="2">
        <f>IF(E34="","",IFERROR(CHOOSE(MATCH(E34,{"Pot","Jack","LED","Button","Switch","Standoff","Connector","Silk"},0),"POT","J","LED","BUT","SW","H","J",""),"")&amp;TEXT(COUNTIF($E$2:E34,E34),"00"))</f>
        <v/>
      </c>
      <c r="B34" s="3" t="n"/>
      <c r="C34" s="4" t="n"/>
      <c r="D34" s="4" t="n"/>
      <c r="E34" s="3" t="n"/>
      <c r="F34" s="3" t="n"/>
      <c r="G34" s="5">
        <f>IFERROR(VLOOKUP(F34,SymbolLookup!$A:$B,2,0),"")</f>
        <v/>
      </c>
      <c r="H34" s="3" t="n"/>
    </row>
    <row r="35">
      <c r="A35" s="2">
        <f>IF(E35="","",IFERROR(CHOOSE(MATCH(E35,{"Pot","Jack","LED","Button","Switch","Standoff","Connector","Silk"},0),"POT","J","LED","BUT","SW","H","J",""),"")&amp;TEXT(COUNTIF($E$2:E35,E35),"00"))</f>
        <v/>
      </c>
      <c r="B35" s="3" t="n"/>
      <c r="C35" s="4" t="n"/>
      <c r="D35" s="4" t="n"/>
      <c r="E35" s="3" t="n"/>
      <c r="F35" s="3" t="n"/>
      <c r="G35" s="5">
        <f>IFERROR(VLOOKUP(F35,SymbolLookup!$A:$B,2,0),"")</f>
        <v/>
      </c>
      <c r="H35" s="3" t="n"/>
    </row>
    <row r="36">
      <c r="A36" s="2">
        <f>IF(E36="","",IFERROR(CHOOSE(MATCH(E36,{"Pot","Jack","LED","Button","Switch","Standoff","Connector","Silk"},0),"POT","J","LED","BUT","SW","H","J",""),"")&amp;TEXT(COUNTIF($E$2:E36,E36),"00"))</f>
        <v/>
      </c>
      <c r="B36" s="3" t="n"/>
      <c r="C36" s="4" t="n"/>
      <c r="D36" s="4" t="n"/>
      <c r="E36" s="3" t="n"/>
      <c r="F36" s="3" t="n"/>
      <c r="G36" s="5">
        <f>IFERROR(VLOOKUP(F36,SymbolLookup!$A:$B,2,0),"")</f>
        <v/>
      </c>
      <c r="H36" s="3" t="n"/>
    </row>
    <row r="37">
      <c r="A37" s="2">
        <f>IF(E37="","",IFERROR(CHOOSE(MATCH(E37,{"Pot","Jack","LED","Button","Switch","Standoff","Connector","Silk"},0),"POT","J","LED","BUT","SW","H","J",""),"")&amp;TEXT(COUNTIF($E$2:E37,E37),"00"))</f>
        <v/>
      </c>
      <c r="B37" s="3" t="n"/>
      <c r="C37" s="4" t="n"/>
      <c r="D37" s="4" t="n"/>
      <c r="E37" s="3" t="n"/>
      <c r="F37" s="3" t="n"/>
      <c r="G37" s="5">
        <f>IFERROR(VLOOKUP(F37,SymbolLookup!$A:$B,2,0),"")</f>
        <v/>
      </c>
      <c r="H37" s="3" t="n"/>
    </row>
    <row r="38">
      <c r="A38" s="2">
        <f>IF(E38="","",IFERROR(CHOOSE(MATCH(E38,{"Pot","Jack","LED","Button","Switch","Standoff","Connector","Silk"},0),"POT","J","LED","BUT","SW","H","J",""),"")&amp;TEXT(COUNTIF($E$2:E38,E38),"00"))</f>
        <v/>
      </c>
      <c r="B38" s="3" t="n"/>
      <c r="C38" s="4" t="n"/>
      <c r="D38" s="4" t="n"/>
      <c r="E38" s="3" t="n"/>
      <c r="F38" s="3" t="n"/>
      <c r="G38" s="5">
        <f>IFERROR(VLOOKUP(F38,SymbolLookup!$A:$B,2,0),"")</f>
        <v/>
      </c>
      <c r="H38" s="3" t="n"/>
    </row>
    <row r="39">
      <c r="A39" s="2">
        <f>IF(E39="","",IFERROR(CHOOSE(MATCH(E39,{"Pot","Jack","LED","Button","Switch","Standoff","Connector","Silk"},0),"POT","J","LED","BUT","SW","H","J",""),"")&amp;TEXT(COUNTIF($E$2:E39,E39),"00"))</f>
        <v/>
      </c>
      <c r="B39" s="3" t="n"/>
      <c r="C39" s="4" t="n"/>
      <c r="D39" s="4" t="n"/>
      <c r="E39" s="3" t="n"/>
      <c r="F39" s="3" t="n"/>
      <c r="G39" s="5">
        <f>IFERROR(VLOOKUP(F39,SymbolLookup!$A:$B,2,0),"")</f>
        <v/>
      </c>
      <c r="H39" s="3" t="n"/>
    </row>
    <row r="40">
      <c r="A40" s="2">
        <f>IF(E40="","",IFERROR(CHOOSE(MATCH(E40,{"Pot","Jack","LED","Button","Switch","Standoff","Connector","Silk"},0),"POT","J","LED","BUT","SW","H","J",""),"")&amp;TEXT(COUNTIF($E$2:E40,E40),"00"))</f>
        <v/>
      </c>
      <c r="B40" s="3" t="n"/>
      <c r="C40" s="4" t="n"/>
      <c r="D40" s="4" t="n"/>
      <c r="E40" s="3" t="n"/>
      <c r="F40" s="3" t="n"/>
      <c r="G40" s="5">
        <f>IFERROR(VLOOKUP(F40,SymbolLookup!$A:$B,2,0),"")</f>
        <v/>
      </c>
      <c r="H40" s="3" t="n"/>
    </row>
    <row r="41">
      <c r="A41" s="2">
        <f>IF(E41="","",IFERROR(CHOOSE(MATCH(E41,{"Pot","Jack","LED","Button","Switch","Standoff","Connector","Silk"},0),"POT","J","LED","BUT","SW","H","J",""),"")&amp;TEXT(COUNTIF($E$2:E41,E41),"00"))</f>
        <v/>
      </c>
      <c r="B41" s="3" t="n"/>
      <c r="C41" s="4" t="n"/>
      <c r="D41" s="4" t="n"/>
      <c r="E41" s="3" t="n"/>
      <c r="F41" s="3" t="n"/>
      <c r="G41" s="5">
        <f>IFERROR(VLOOKUP(F41,SymbolLookup!$A:$B,2,0),"")</f>
        <v/>
      </c>
      <c r="H41" s="3" t="n"/>
    </row>
    <row r="42">
      <c r="A42" s="2">
        <f>IF(E42="","",IFERROR(CHOOSE(MATCH(E42,{"Pot","Jack","LED","Button","Switch","Standoff","Connector","Silk"},0),"POT","J","LED","BUT","SW","H","J",""),"")&amp;TEXT(COUNTIF($E$2:E42,E42),"00"))</f>
        <v/>
      </c>
      <c r="B42" s="3" t="n"/>
      <c r="C42" s="4" t="n"/>
      <c r="D42" s="4" t="n"/>
      <c r="E42" s="3" t="n"/>
      <c r="F42" s="3" t="n"/>
      <c r="G42" s="5">
        <f>IFERROR(VLOOKUP(F42,SymbolLookup!$A:$B,2,0),"")</f>
        <v/>
      </c>
      <c r="H42" s="3" t="n"/>
    </row>
    <row r="43">
      <c r="A43" s="2">
        <f>IF(E43="","",IFERROR(CHOOSE(MATCH(E43,{"Pot","Jack","LED","Button","Switch","Standoff","Connector","Silk"},0),"POT","J","LED","BUT","SW","H","J",""),"")&amp;TEXT(COUNTIF($E$2:E43,E43),"00"))</f>
        <v/>
      </c>
      <c r="B43" s="3" t="n"/>
      <c r="C43" s="4" t="n"/>
      <c r="D43" s="4" t="n"/>
      <c r="E43" s="3" t="n"/>
      <c r="F43" s="3" t="n"/>
      <c r="G43" s="5">
        <f>IFERROR(VLOOKUP(F43,SymbolLookup!$A:$B,2,0),"")</f>
        <v/>
      </c>
      <c r="H43" s="3" t="n"/>
    </row>
    <row r="44">
      <c r="A44" s="2">
        <f>IF(E44="","",IFERROR(CHOOSE(MATCH(E44,{"Pot","Jack","LED","Button","Switch","Standoff","Connector","Silk"},0),"POT","J","LED","BUT","SW","H","J",""),"")&amp;TEXT(COUNTIF($E$2:E44,E44),"00"))</f>
        <v/>
      </c>
      <c r="B44" s="3" t="n"/>
      <c r="C44" s="4" t="n"/>
      <c r="D44" s="4" t="n"/>
      <c r="E44" s="3" t="n"/>
      <c r="F44" s="3" t="n"/>
      <c r="G44" s="5">
        <f>IFERROR(VLOOKUP(F44,SymbolLookup!$A:$B,2,0),"")</f>
        <v/>
      </c>
      <c r="H44" s="3" t="n"/>
    </row>
    <row r="45">
      <c r="A45" s="2">
        <f>IF(E45="","",IFERROR(CHOOSE(MATCH(E45,{"Pot","Jack","LED","Button","Switch","Standoff","Connector","Silk"},0),"POT","J","LED","BUT","SW","H","J",""),"")&amp;TEXT(COUNTIF($E$2:E45,E45),"00"))</f>
        <v/>
      </c>
      <c r="B45" s="3" t="n"/>
      <c r="C45" s="4" t="n"/>
      <c r="D45" s="4" t="n"/>
      <c r="E45" s="3" t="n"/>
      <c r="F45" s="3" t="n"/>
      <c r="G45" s="5">
        <f>IFERROR(VLOOKUP(F45,SymbolLookup!$A:$B,2,0),"")</f>
        <v/>
      </c>
      <c r="H45" s="3" t="n"/>
    </row>
    <row r="46">
      <c r="A46" s="2">
        <f>IF(E46="","",IFERROR(CHOOSE(MATCH(E46,{"Pot","Jack","LED","Button","Switch","Standoff","Connector","Silk"},0),"POT","J","LED","BUT","SW","H","J",""),"")&amp;TEXT(COUNTIF($E$2:E46,E46),"00"))</f>
        <v/>
      </c>
      <c r="B46" s="3" t="n"/>
      <c r="C46" s="4" t="n"/>
      <c r="D46" s="4" t="n"/>
      <c r="E46" s="3" t="n"/>
      <c r="F46" s="3" t="n"/>
      <c r="G46" s="5">
        <f>IFERROR(VLOOKUP(F46,SymbolLookup!$A:$B,2,0),"")</f>
        <v/>
      </c>
      <c r="H46" s="3" t="n"/>
    </row>
    <row r="47">
      <c r="A47" s="2">
        <f>IF(E47="","",IFERROR(CHOOSE(MATCH(E47,{"Pot","Jack","LED","Button","Switch","Standoff","Connector","Silk"},0),"POT","J","LED","BUT","SW","H","J",""),"")&amp;TEXT(COUNTIF($E$2:E47,E47),"00"))</f>
        <v/>
      </c>
      <c r="B47" s="3" t="n"/>
      <c r="C47" s="4" t="n"/>
      <c r="D47" s="4" t="n"/>
      <c r="E47" s="3" t="n"/>
      <c r="F47" s="3" t="n"/>
      <c r="G47" s="5">
        <f>IFERROR(VLOOKUP(F47,SymbolLookup!$A:$B,2,0),"")</f>
        <v/>
      </c>
      <c r="H47" s="3" t="n"/>
    </row>
    <row r="48">
      <c r="A48" s="2">
        <f>IF(E48="","",IFERROR(CHOOSE(MATCH(E48,{"Pot","Jack","LED","Button","Switch","Standoff","Connector","Silk"},0),"POT","J","LED","BUT","SW","H","J",""),"")&amp;TEXT(COUNTIF($E$2:E48,E48),"00"))</f>
        <v/>
      </c>
      <c r="B48" s="3" t="n"/>
      <c r="C48" s="4" t="n"/>
      <c r="D48" s="4" t="n"/>
      <c r="E48" s="3" t="n"/>
      <c r="F48" s="3" t="n"/>
      <c r="G48" s="5">
        <f>IFERROR(VLOOKUP(F48,SymbolLookup!$A:$B,2,0),"")</f>
        <v/>
      </c>
      <c r="H48" s="3" t="n"/>
    </row>
    <row r="49">
      <c r="A49" s="2">
        <f>IF(E49="","",IFERROR(CHOOSE(MATCH(E49,{"Pot","Jack","LED","Button","Switch","Standoff","Connector","Silk"},0),"POT","J","LED","BUT","SW","H","J",""),"")&amp;TEXT(COUNTIF($E$2:E49,E49),"00"))</f>
        <v/>
      </c>
      <c r="B49" s="3" t="n"/>
      <c r="C49" s="4" t="n"/>
      <c r="D49" s="4" t="n"/>
      <c r="E49" s="3" t="n"/>
      <c r="F49" s="3" t="n"/>
      <c r="G49" s="5">
        <f>IFERROR(VLOOKUP(F49,SymbolLookup!$A:$B,2,0),"")</f>
        <v/>
      </c>
      <c r="H49" s="3" t="n"/>
    </row>
    <row r="50">
      <c r="A50" s="2">
        <f>IF(E50="","",IFERROR(CHOOSE(MATCH(E50,{"Pot","Jack","LED","Button","Switch","Standoff","Connector","Silk"},0),"POT","J","LED","BUT","SW","H","J",""),"")&amp;TEXT(COUNTIF($E$2:E50,E50),"00"))</f>
        <v/>
      </c>
      <c r="B50" s="3" t="n"/>
      <c r="C50" s="4" t="n"/>
      <c r="D50" s="4" t="n"/>
      <c r="E50" s="3" t="n"/>
      <c r="F50" s="3" t="n"/>
      <c r="G50" s="5">
        <f>IFERROR(VLOOKUP(F50,SymbolLookup!$A:$B,2,0),"")</f>
        <v/>
      </c>
      <c r="H50" s="3" t="n"/>
    </row>
    <row r="51">
      <c r="A51" s="2">
        <f>IF(E51="","",IFERROR(CHOOSE(MATCH(E51,{"Pot","Jack","LED","Button","Switch","Standoff","Connector","Silk"},0),"POT","J","LED","BUT","SW","H","J",""),"")&amp;TEXT(COUNTIF($E$2:E51,E51),"00"))</f>
        <v/>
      </c>
      <c r="B51" s="3" t="n"/>
      <c r="C51" s="4" t="n"/>
      <c r="D51" s="4" t="n"/>
      <c r="E51" s="3" t="n"/>
      <c r="F51" s="3" t="n"/>
      <c r="G51" s="5">
        <f>IFERROR(VLOOKUP(F51,SymbolLookup!$A:$B,2,0),"")</f>
        <v/>
      </c>
      <c r="H51" s="3" t="n"/>
    </row>
  </sheetData>
  <conditionalFormatting sqref="A2:A500">
    <cfRule type="expression" priority="1" dxfId="0">
      <formula>AND($G2&lt;&gt;"",$A2="")</formula>
    </cfRule>
  </conditionalFormatting>
  <dataValidations count="2">
    <dataValidation sqref="E2:E500" showDropDown="0" showInputMessage="0" showErrorMessage="1" allowBlank="1" errorTitle="Invalid type" error="Choose one of: Pot,Jack,LED,Button,Switch,Standoff,Connector,Silk" type="list">
      <formula1>"Pot,Jack,LED,Button,Switch,Standoff,Connector,Silk"</formula1>
    </dataValidation>
    <dataValidation sqref="F2:F500" showDropDown="0" showInputMessage="0" showErrorMessage="0" allowBlank="1" type="list">
      <formula1>INDIRECT($E2)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6" t="inlineStr">
        <is>
          <t>Pot</t>
        </is>
      </c>
      <c r="B1" s="6" t="inlineStr">
        <is>
          <t>Jack</t>
        </is>
      </c>
      <c r="C1" s="6" t="inlineStr">
        <is>
          <t>LED</t>
        </is>
      </c>
      <c r="D1" s="6" t="inlineStr">
        <is>
          <t>Button</t>
        </is>
      </c>
      <c r="E1" s="6" t="inlineStr">
        <is>
          <t>Switch</t>
        </is>
      </c>
      <c r="F1" s="6" t="inlineStr">
        <is>
          <t>Standoff</t>
        </is>
      </c>
      <c r="G1" s="6" t="inlineStr">
        <is>
          <t>Connector</t>
        </is>
      </c>
      <c r="H1" s="6" t="inlineStr">
        <is>
          <t>Silk</t>
        </is>
      </c>
    </row>
    <row r="2">
      <c r="A2" t="inlineStr">
        <is>
          <t>16mm No Detent 10k</t>
        </is>
      </c>
      <c r="B2" t="inlineStr">
        <is>
          <t>3.5mm Mono Switched</t>
        </is>
      </c>
      <c r="C2" t="inlineStr">
        <is>
          <t>RGB PLCC4</t>
        </is>
      </c>
      <c r="D2" t="inlineStr">
        <is>
          <t>RGB 7mm Cap</t>
        </is>
      </c>
      <c r="E2" t="inlineStr">
        <is>
          <t>Toggle SPDT Sub-Mini 3-pos</t>
        </is>
      </c>
      <c r="F2" t="inlineStr">
        <is>
          <t>M3x10mm Hex WA-SNTI</t>
        </is>
      </c>
      <c r="G2" t="inlineStr">
        <is>
          <t>USB-C Molex 2171790001</t>
        </is>
      </c>
      <c r="H2" t="inlineStr">
        <is>
          <t>Silkscreen Label</t>
        </is>
      </c>
    </row>
    <row r="3">
      <c r="A3" t="inlineStr">
        <is>
          <t>16mm No Detent 100k</t>
        </is>
      </c>
      <c r="B3" t="inlineStr">
        <is>
          <t>3.5mm Mono Switched sm</t>
        </is>
      </c>
      <c r="C3" t="inlineStr">
        <is>
          <t>RGB Right Angle</t>
        </is>
      </c>
      <c r="D3" t="inlineStr">
        <is>
          <t>RGB 5.4mm Cap</t>
        </is>
      </c>
      <c r="E3" t="inlineStr">
        <is>
          <t>Toggle SPDT Sub-Mini 2-pos</t>
        </is>
      </c>
      <c r="F3" t="inlineStr">
        <is>
          <t>M3x6mm Hex WA-SNTI</t>
        </is>
      </c>
      <c r="G3" t="inlineStr">
        <is>
          <t>USB-C AdamTech</t>
        </is>
      </c>
    </row>
    <row r="4">
      <c r="A4" t="inlineStr">
        <is>
          <t>16mm Center Detent 10k</t>
        </is>
      </c>
      <c r="B4" t="inlineStr">
        <is>
          <t>3.5mm Mono Switched SymSmall</t>
        </is>
      </c>
      <c r="C4" t="inlineStr">
        <is>
          <t>Blue 0603</t>
        </is>
      </c>
      <c r="D4" t="inlineStr">
        <is>
          <t>RGB 9mm Cap</t>
        </is>
      </c>
      <c r="E4" t="inlineStr">
        <is>
          <t>Encoder Rotary 11mm D-Shaft</t>
        </is>
      </c>
      <c r="F4" t="inlineStr">
        <is>
          <t>M3x15mm Hex WA-SNTI</t>
        </is>
      </c>
      <c r="G4" t="inlineStr">
        <is>
          <t>USB-C GCT USB4730</t>
        </is>
      </c>
    </row>
    <row r="5">
      <c r="A5" t="inlineStr">
        <is>
          <t>16mm 21-Detent 10k</t>
        </is>
      </c>
      <c r="B5" t="inlineStr">
        <is>
          <t>3.5mm Stereo</t>
        </is>
      </c>
      <c r="C5" t="inlineStr">
        <is>
          <t>Red 0603</t>
        </is>
      </c>
      <c r="D5" t="inlineStr">
        <is>
          <t>DPDT Orange Latching</t>
        </is>
      </c>
      <c r="E5" t="inlineStr">
        <is>
          <t>Encoder Rotary 11mm PEC11R</t>
        </is>
      </c>
      <c r="F5" t="inlineStr">
        <is>
          <t>Mounting Post Base Support</t>
        </is>
      </c>
      <c r="G5" t="inlineStr">
        <is>
          <t>USB Micro B</t>
        </is>
      </c>
    </row>
    <row r="6">
      <c r="A6" t="inlineStr">
        <is>
          <t>9mm No Detent 100k Knurled</t>
        </is>
      </c>
      <c r="B6" t="inlineStr">
        <is>
          <t>3.5mm Stereo sm</t>
        </is>
      </c>
      <c r="C6" t="inlineStr">
        <is>
          <t>White 0603</t>
        </is>
      </c>
      <c r="D6" t="inlineStr">
        <is>
          <t>DPDT White Momentary</t>
        </is>
      </c>
      <c r="E6" t="inlineStr">
        <is>
          <t>Encoder Rotary 12mm 24-Det</t>
        </is>
      </c>
      <c r="F6" t="inlineStr">
        <is>
          <t>Nylon Spacer 11mm</t>
        </is>
      </c>
      <c r="G6" t="inlineStr">
        <is>
          <t>microSD Vertical TH</t>
        </is>
      </c>
    </row>
    <row r="7">
      <c r="A7" t="inlineStr">
        <is>
          <t>9mm Center Detent 100k Knurled</t>
        </is>
      </c>
      <c r="B7" t="inlineStr">
        <is>
          <t>3.5mm Stereo SymSmall</t>
        </is>
      </c>
      <c r="C7" t="inlineStr">
        <is>
          <t>Green 0603</t>
        </is>
      </c>
      <c r="D7" t="inlineStr">
        <is>
          <t>PKS-01L-X</t>
        </is>
      </c>
      <c r="E7" t="inlineStr">
        <is>
          <t>Rocker 4-pin</t>
        </is>
      </c>
      <c r="F7" t="inlineStr">
        <is>
          <t>Mounting Hole M3 (no pad)</t>
        </is>
      </c>
      <c r="G7" t="inlineStr">
        <is>
          <t>microSD SMT</t>
        </is>
      </c>
    </row>
    <row r="8">
      <c r="A8" t="inlineStr">
        <is>
          <t>9mm No Detent 10k D-Shaft</t>
        </is>
      </c>
      <c r="B8" t="inlineStr">
        <is>
          <t>3.5mm Stereo SMT Right Angle</t>
        </is>
      </c>
      <c r="C8" t="inlineStr">
        <is>
          <t>Yellow 0603</t>
        </is>
      </c>
      <c r="D8" t="inlineStr">
        <is>
          <t>PKS-01 Black</t>
        </is>
      </c>
      <c r="E8" t="inlineStr">
        <is>
          <t>Rocker 3-pin</t>
        </is>
      </c>
    </row>
    <row r="9">
      <c r="A9" t="inlineStr">
        <is>
          <t>9mm Center Detent 10k D-Shaft</t>
        </is>
      </c>
      <c r="B9" t="inlineStr">
        <is>
          <t>3.5mm Stereo Switched</t>
        </is>
      </c>
      <c r="C9" t="inlineStr">
        <is>
          <t>Dual SMD 4-pin</t>
        </is>
      </c>
      <c r="D9" t="inlineStr">
        <is>
          <t>PB20B</t>
        </is>
      </c>
      <c r="E9" t="inlineStr">
        <is>
          <t>DIP 2-pos</t>
        </is>
      </c>
    </row>
    <row r="10">
      <c r="A10" t="inlineStr">
        <is>
          <t>Slider LED 20mm 100k</t>
        </is>
      </c>
      <c r="B10" t="inlineStr">
        <is>
          <t>1/4in Stereo</t>
        </is>
      </c>
      <c r="C10" t="inlineStr">
        <is>
          <t>Red 3mm TH</t>
        </is>
      </c>
      <c r="D10" t="inlineStr">
        <is>
          <t>TL1105SPF Tactile SMT</t>
        </is>
      </c>
      <c r="E10" t="inlineStr">
        <is>
          <t>DIP 3-pos</t>
        </is>
      </c>
    </row>
    <row r="11">
      <c r="A11" t="inlineStr">
        <is>
          <t>Slider LED 30mm 10k</t>
        </is>
      </c>
      <c r="B11" t="inlineStr">
        <is>
          <t>Barrel 2.0mm PJ064</t>
        </is>
      </c>
      <c r="C11" t="inlineStr">
        <is>
          <t>White 3mm TH</t>
        </is>
      </c>
      <c r="D11" t="inlineStr">
        <is>
          <t>TL1105JAF RA with Cap</t>
        </is>
      </c>
      <c r="E11" t="inlineStr">
        <is>
          <t>Rotary 3-pos 6-pin</t>
        </is>
      </c>
    </row>
    <row r="12">
      <c r="A12" t="inlineStr">
        <is>
          <t>Slider Top-Up 60mm</t>
        </is>
      </c>
      <c r="B12" t="inlineStr">
        <is>
          <t>Barrel 2.1mm Right Angle</t>
        </is>
      </c>
      <c r="C12" t="inlineStr">
        <is>
          <t>Green 5mm TH</t>
        </is>
      </c>
      <c r="D12" t="inlineStr">
        <is>
          <t>PTS526 SMT Tactile</t>
        </is>
      </c>
      <c r="E12" t="inlineStr">
        <is>
          <t>Slide SPST</t>
        </is>
      </c>
    </row>
    <row r="13">
      <c r="A13" t="inlineStr">
        <is>
          <t>TrimPot T73YE 10k</t>
        </is>
      </c>
      <c r="B13" t="inlineStr">
        <is>
          <t>MIDI DIN5</t>
        </is>
      </c>
      <c r="C13" t="inlineStr">
        <is>
          <t>Blue 3mm TH</t>
        </is>
      </c>
      <c r="D13" t="inlineStr">
        <is>
          <t>PTS810</t>
        </is>
      </c>
      <c r="E13" t="inlineStr">
        <is>
          <t>Slide DPDT</t>
        </is>
      </c>
    </row>
    <row r="14">
      <c r="A14" t="inlineStr">
        <is>
          <t>TrimPot T73YE 100k</t>
        </is>
      </c>
      <c r="D14" t="inlineStr">
        <is>
          <t>B3F-4055</t>
        </is>
      </c>
    </row>
    <row r="15">
      <c r="A15" t="inlineStr">
        <is>
          <t>TrimPot T73YE 1k</t>
        </is>
      </c>
      <c r="D15" t="inlineStr">
        <is>
          <t>1TS009A</t>
        </is>
      </c>
    </row>
    <row r="16">
      <c r="A16" t="inlineStr">
        <is>
          <t>TrimPot TC33X 100R</t>
        </is>
      </c>
      <c r="D16" t="inlineStr">
        <is>
          <t>SPST Momentary TS21</t>
        </is>
      </c>
    </row>
    <row r="17">
      <c r="A17" t="inlineStr">
        <is>
          <t>TrimPot TC33X 200R</t>
        </is>
      </c>
      <c r="D17" t="inlineStr">
        <is>
          <t>Tactile Pins 1+3 Shorted</t>
        </is>
      </c>
    </row>
    <row r="18">
      <c r="A18" t="inlineStr">
        <is>
          <t>TrimPot TC33X 1k</t>
        </is>
      </c>
    </row>
    <row r="19">
      <c r="A19" t="inlineStr">
        <is>
          <t>TrimPot TC33X 10k</t>
        </is>
      </c>
    </row>
    <row r="20">
      <c r="A20" t="inlineStr">
        <is>
          <t>TrimPot TC33X 20k</t>
        </is>
      </c>
    </row>
    <row r="21">
      <c r="A21" t="inlineStr">
        <is>
          <t>TrimPot TC33X 50k</t>
        </is>
      </c>
    </row>
    <row r="22">
      <c r="A22" t="inlineStr">
        <is>
          <t>TrimPot TC33X 100k</t>
        </is>
      </c>
    </row>
    <row r="23">
      <c r="A23" t="inlineStr">
        <is>
          <t>TrimPot TC33X DNP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6" t="inlineStr">
        <is>
          <t>Subtype</t>
        </is>
      </c>
      <c r="B1" s="6" t="inlineStr">
        <is>
          <t>KiCad Symbol</t>
        </is>
      </c>
    </row>
    <row r="2">
      <c r="A2" t="inlineStr">
        <is>
          <t>16mm No Detent 10k</t>
        </is>
      </c>
      <c r="B2" t="inlineStr">
        <is>
          <t>4ms_Potentiometer:16mm_NoDet_10k</t>
        </is>
      </c>
    </row>
    <row r="3">
      <c r="A3" t="inlineStr">
        <is>
          <t>16mm No Detent 100k</t>
        </is>
      </c>
      <c r="B3" t="inlineStr">
        <is>
          <t>4ms_Potentiometer:16mm_NoDet_100k</t>
        </is>
      </c>
    </row>
    <row r="4">
      <c r="A4" t="inlineStr">
        <is>
          <t>16mm Center Detent 10k</t>
        </is>
      </c>
      <c r="B4" t="inlineStr">
        <is>
          <t>4ms_Potentiometer:16mm_CtrDet_10k</t>
        </is>
      </c>
    </row>
    <row r="5">
      <c r="A5" t="inlineStr">
        <is>
          <t>16mm 21-Detent 10k</t>
        </is>
      </c>
      <c r="B5" t="inlineStr">
        <is>
          <t>4ms_Potentiometer:16mm_21Det_10k</t>
        </is>
      </c>
    </row>
    <row r="6">
      <c r="A6" t="inlineStr">
        <is>
          <t>9mm No Detent 100k Knurled</t>
        </is>
      </c>
      <c r="B6" t="inlineStr">
        <is>
          <t>4ms_Potentiometer:9mm_NoDet_100k_Knurled_Lined</t>
        </is>
      </c>
    </row>
    <row r="7">
      <c r="A7" t="inlineStr">
        <is>
          <t>9mm Center Detent 100k Knurled</t>
        </is>
      </c>
      <c r="B7" t="inlineStr">
        <is>
          <t>4ms_Potentiometer:9mm_CtrDet_100k_Knurled_Lined</t>
        </is>
      </c>
    </row>
    <row r="8">
      <c r="A8" t="inlineStr">
        <is>
          <t>9mm No Detent 10k D-Shaft</t>
        </is>
      </c>
      <c r="B8" t="inlineStr">
        <is>
          <t>4ms_Potentiometer:9mm_NoDet_10k_DShaft</t>
        </is>
      </c>
    </row>
    <row r="9">
      <c r="A9" t="inlineStr">
        <is>
          <t>9mm Center Detent 10k D-Shaft</t>
        </is>
      </c>
      <c r="B9" t="inlineStr">
        <is>
          <t>4ms_Potentiometer:9mm_CtrDet_10k_DShaft</t>
        </is>
      </c>
    </row>
    <row r="10">
      <c r="A10" t="inlineStr">
        <is>
          <t>Slider LED 20mm 100k</t>
        </is>
      </c>
      <c r="B10" t="inlineStr">
        <is>
          <t>4ms_Potentiometer:Pot_Slider_LED_20mm_100K</t>
        </is>
      </c>
    </row>
    <row r="11">
      <c r="A11" t="inlineStr">
        <is>
          <t>Slider LED 30mm 10k</t>
        </is>
      </c>
      <c r="B11" t="inlineStr">
        <is>
          <t>4ms_Potentiometer:Pot_Slider_LED_30mm_10K</t>
        </is>
      </c>
    </row>
    <row r="12">
      <c r="A12" t="inlineStr">
        <is>
          <t>Slider Top-Up 60mm</t>
        </is>
      </c>
      <c r="B12" t="inlineStr">
        <is>
          <t>4ms_Potentiometer:Pot_Slider_Top-Up_60RFT2-B</t>
        </is>
      </c>
    </row>
    <row r="13">
      <c r="A13" t="inlineStr">
        <is>
          <t>TrimPot T73YE 10k</t>
        </is>
      </c>
      <c r="B13" t="inlineStr">
        <is>
          <t>4ms_Potentiometer:TrimPot_T73YEt_10k</t>
        </is>
      </c>
    </row>
    <row r="14">
      <c r="A14" t="inlineStr">
        <is>
          <t>TrimPot T73YE 100k</t>
        </is>
      </c>
      <c r="B14" t="inlineStr">
        <is>
          <t>4ms_Potentiometer:TrimPot_T73YEt_100k</t>
        </is>
      </c>
    </row>
    <row r="15">
      <c r="A15" t="inlineStr">
        <is>
          <t>TrimPot T73YE 1k</t>
        </is>
      </c>
      <c r="B15" t="inlineStr">
        <is>
          <t>4ms_Potentiometer:TrimPot_T73YEt_1k</t>
        </is>
      </c>
    </row>
    <row r="16">
      <c r="A16" t="inlineStr">
        <is>
          <t>TrimPot TC33X 100R</t>
        </is>
      </c>
      <c r="B16" t="inlineStr">
        <is>
          <t>4ms_Potentiometer:TrimPot_TC33X_100R</t>
        </is>
      </c>
    </row>
    <row r="17">
      <c r="A17" t="inlineStr">
        <is>
          <t>TrimPot TC33X 200R</t>
        </is>
      </c>
      <c r="B17" t="inlineStr">
        <is>
          <t>4ms_Potentiometer:TrimPot_TC33X_200R</t>
        </is>
      </c>
    </row>
    <row r="18">
      <c r="A18" t="inlineStr">
        <is>
          <t>TrimPot TC33X 1k</t>
        </is>
      </c>
      <c r="B18" t="inlineStr">
        <is>
          <t>4ms_Potentiometer:TrimPot_TC33X_1k</t>
        </is>
      </c>
    </row>
    <row r="19">
      <c r="A19" t="inlineStr">
        <is>
          <t>TrimPot TC33X 10k</t>
        </is>
      </c>
      <c r="B19" t="inlineStr">
        <is>
          <t>4ms_Potentiometer:TrimPot_TC33X_10k</t>
        </is>
      </c>
    </row>
    <row r="20">
      <c r="A20" t="inlineStr">
        <is>
          <t>TrimPot TC33X 20k</t>
        </is>
      </c>
      <c r="B20" t="inlineStr">
        <is>
          <t>4ms_Potentiometer:TrimPot_TC33X_20k</t>
        </is>
      </c>
    </row>
    <row r="21">
      <c r="A21" t="inlineStr">
        <is>
          <t>TrimPot TC33X 50k</t>
        </is>
      </c>
      <c r="B21" t="inlineStr">
        <is>
          <t>4ms_Potentiometer:TrimPot_TC33X_50k</t>
        </is>
      </c>
    </row>
    <row r="22">
      <c r="A22" t="inlineStr">
        <is>
          <t>TrimPot TC33X 100k</t>
        </is>
      </c>
      <c r="B22" t="inlineStr">
        <is>
          <t>4ms_Potentiometer:TrimPot_TC33X_100k</t>
        </is>
      </c>
    </row>
    <row r="23">
      <c r="A23" t="inlineStr">
        <is>
          <t>TrimPot TC33X DNP</t>
        </is>
      </c>
      <c r="B23" t="inlineStr">
        <is>
          <t>4ms_Potentiometer:TrimPot_TC33X_DNP</t>
        </is>
      </c>
    </row>
    <row r="24">
      <c r="A24" t="inlineStr">
        <is>
          <t>3.5mm Mono Switched</t>
        </is>
      </c>
      <c r="B24" t="inlineStr">
        <is>
          <t>4ms_Jack:3.5mm_Mono_Switched</t>
        </is>
      </c>
    </row>
    <row r="25">
      <c r="A25" t="inlineStr">
        <is>
          <t>3.5mm Mono Switched sm</t>
        </is>
      </c>
      <c r="B25" t="inlineStr">
        <is>
          <t>4ms_Jack:3.5mm_Mono_Switched_sm</t>
        </is>
      </c>
    </row>
    <row r="26">
      <c r="A26" t="inlineStr">
        <is>
          <t>3.5mm Mono Switched SymSmall</t>
        </is>
      </c>
      <c r="B26" t="inlineStr">
        <is>
          <t>4ms_Jack:3.5mm_Mono_Switched_SymSmall_0.05</t>
        </is>
      </c>
    </row>
    <row r="27">
      <c r="A27" t="inlineStr">
        <is>
          <t>3.5mm Stereo</t>
        </is>
      </c>
      <c r="B27" t="inlineStr">
        <is>
          <t>4ms_Jack:3.5mm_Stereo</t>
        </is>
      </c>
    </row>
    <row r="28">
      <c r="A28" t="inlineStr">
        <is>
          <t>3.5mm Stereo sm</t>
        </is>
      </c>
      <c r="B28" t="inlineStr">
        <is>
          <t>4ms_Jack:3.5mm_Stereo_sm</t>
        </is>
      </c>
    </row>
    <row r="29">
      <c r="A29" t="inlineStr">
        <is>
          <t>3.5mm Stereo SymSmall</t>
        </is>
      </c>
      <c r="B29" t="inlineStr">
        <is>
          <t>4ms_Jack:3.5mm_Stereo_SymSmall_0.05</t>
        </is>
      </c>
    </row>
    <row r="30">
      <c r="A30" t="inlineStr">
        <is>
          <t>3.5mm Stereo SMT Right Angle</t>
        </is>
      </c>
      <c r="B30" t="inlineStr">
        <is>
          <t>4ms_Jack:3.5mm_Stereo_SMT_Right_Angle_Horizontal</t>
        </is>
      </c>
    </row>
    <row r="31">
      <c r="A31" t="inlineStr">
        <is>
          <t>3.5mm Stereo Switched</t>
        </is>
      </c>
      <c r="B31" t="inlineStr">
        <is>
          <t>4ms_Jack:3.5mm_Stereo_Switched_Jack</t>
        </is>
      </c>
    </row>
    <row r="32">
      <c r="A32" t="inlineStr">
        <is>
          <t>1/4in Stereo</t>
        </is>
      </c>
      <c r="B32" t="inlineStr">
        <is>
          <t>4ms_Jack:1/4{dblquote}_Jack_Stereo</t>
        </is>
      </c>
    </row>
    <row r="33">
      <c r="A33" t="inlineStr">
        <is>
          <t>Barrel 2.0mm PJ064</t>
        </is>
      </c>
      <c r="B33" t="inlineStr">
        <is>
          <t>4ms_Jack:Barrel_2.0mmPin_PJ064</t>
        </is>
      </c>
    </row>
    <row r="34">
      <c r="A34" t="inlineStr">
        <is>
          <t>Barrel 2.1mm Right Angle</t>
        </is>
      </c>
      <c r="B34" t="inlineStr">
        <is>
          <t>4ms_Jack:Barrel_2.1mm_Right_Angle</t>
        </is>
      </c>
    </row>
    <row r="35">
      <c r="A35" t="inlineStr">
        <is>
          <t>MIDI DIN5</t>
        </is>
      </c>
      <c r="B35" t="inlineStr">
        <is>
          <t>4ms_Jack:MIDI_DIN5_SD-50BV</t>
        </is>
      </c>
    </row>
    <row r="36">
      <c r="A36" t="inlineStr">
        <is>
          <t>RGB PLCC4</t>
        </is>
      </c>
      <c r="B36" t="inlineStr">
        <is>
          <t>4ms_LED:RGB_CA_PLCC4</t>
        </is>
      </c>
    </row>
    <row r="37">
      <c r="A37" t="inlineStr">
        <is>
          <t>RGB Right Angle</t>
        </is>
      </c>
      <c r="B37" t="inlineStr">
        <is>
          <t>4ms_LED:RGB_CA_RightAngle</t>
        </is>
      </c>
    </row>
    <row r="38">
      <c r="A38" t="inlineStr">
        <is>
          <t>Blue 0603</t>
        </is>
      </c>
      <c r="B38" t="inlineStr">
        <is>
          <t>4ms_LED:Blue_56mcd_0603</t>
        </is>
      </c>
    </row>
    <row r="39">
      <c r="A39" t="inlineStr">
        <is>
          <t>Red 0603</t>
        </is>
      </c>
      <c r="B39" t="inlineStr">
        <is>
          <t>4ms_LED:Red_100mcd_0603</t>
        </is>
      </c>
    </row>
    <row r="40">
      <c r="A40" t="inlineStr">
        <is>
          <t>White 0603</t>
        </is>
      </c>
      <c r="B40" t="inlineStr">
        <is>
          <t>4ms_LED:White_min200mcd_0603</t>
        </is>
      </c>
    </row>
    <row r="41">
      <c r="A41" t="inlineStr">
        <is>
          <t>Green 0603</t>
        </is>
      </c>
      <c r="B41" t="inlineStr">
        <is>
          <t>4ms_LED:Green_350mcd_0603</t>
        </is>
      </c>
    </row>
    <row r="42">
      <c r="A42" t="inlineStr">
        <is>
          <t>Yellow 0603</t>
        </is>
      </c>
      <c r="B42" t="inlineStr">
        <is>
          <t>4ms_LED:Yellow_23mcd_0603</t>
        </is>
      </c>
    </row>
    <row r="43">
      <c r="A43" t="inlineStr">
        <is>
          <t>Dual SMD 4-pin</t>
        </is>
      </c>
      <c r="B43" t="inlineStr">
        <is>
          <t>4ms_LED:LED_Dual_SMD-4P</t>
        </is>
      </c>
    </row>
    <row r="44">
      <c r="A44" t="inlineStr">
        <is>
          <t>Red 3mm TH</t>
        </is>
      </c>
      <c r="B44" t="inlineStr">
        <is>
          <t>4ms_LED:Red_3mm_TH</t>
        </is>
      </c>
    </row>
    <row r="45">
      <c r="A45" t="inlineStr">
        <is>
          <t>White 3mm TH</t>
        </is>
      </c>
      <c r="B45" t="inlineStr">
        <is>
          <t>4ms_LED:White_3mm_TH</t>
        </is>
      </c>
    </row>
    <row r="46">
      <c r="A46" t="inlineStr">
        <is>
          <t>Green 5mm TH</t>
        </is>
      </c>
      <c r="B46" t="inlineStr">
        <is>
          <t>4ms_LED:Green_5mm_TH</t>
        </is>
      </c>
    </row>
    <row r="47">
      <c r="A47" t="inlineStr">
        <is>
          <t>Blue 3mm TH</t>
        </is>
      </c>
      <c r="B47" t="inlineStr">
        <is>
          <t>4ms_LED:Blue_3mm_TH</t>
        </is>
      </c>
    </row>
    <row r="48">
      <c r="A48" t="inlineStr">
        <is>
          <t>RGB 7mm Cap</t>
        </is>
      </c>
      <c r="B48" t="inlineStr">
        <is>
          <t>4ms_Switch:Button_SPST_RGB_7mmCap</t>
        </is>
      </c>
    </row>
    <row r="49">
      <c r="A49" t="inlineStr">
        <is>
          <t>RGB 5.4mm Cap</t>
        </is>
      </c>
      <c r="B49" t="inlineStr">
        <is>
          <t>4ms_Switch:Button_SPST_RGB_5.4mmCap</t>
        </is>
      </c>
    </row>
    <row r="50">
      <c r="A50" t="inlineStr">
        <is>
          <t>RGB 9mm Cap</t>
        </is>
      </c>
      <c r="B50" t="inlineStr">
        <is>
          <t>4ms_Switch:Button_SPST_RGB_9mmCap</t>
        </is>
      </c>
    </row>
    <row r="51">
      <c r="A51" t="inlineStr">
        <is>
          <t>DPDT Orange Latching</t>
        </is>
      </c>
      <c r="B51" t="inlineStr">
        <is>
          <t>4ms_Switch:Button_DPDT_Orange_Latching</t>
        </is>
      </c>
    </row>
    <row r="52">
      <c r="A52" t="inlineStr">
        <is>
          <t>DPDT White Momentary</t>
        </is>
      </c>
      <c r="B52" t="inlineStr">
        <is>
          <t>4ms_Switch:Button_DPDT_White_Mom</t>
        </is>
      </c>
    </row>
    <row r="53">
      <c r="A53" t="inlineStr">
        <is>
          <t>PKS-01L-X</t>
        </is>
      </c>
      <c r="B53" t="inlineStr">
        <is>
          <t>4ms_Switch:Button_PKS-01L-X</t>
        </is>
      </c>
    </row>
    <row r="54">
      <c r="A54" t="inlineStr">
        <is>
          <t>PKS-01 Black</t>
        </is>
      </c>
      <c r="B54" t="inlineStr">
        <is>
          <t>4ms_Switch:Button_PKS-01-BK</t>
        </is>
      </c>
    </row>
    <row r="55">
      <c r="A55" t="inlineStr">
        <is>
          <t>PB20B</t>
        </is>
      </c>
      <c r="B55" t="inlineStr">
        <is>
          <t>4ms_Switch:Button_PB20B</t>
        </is>
      </c>
    </row>
    <row r="56">
      <c r="A56" t="inlineStr">
        <is>
          <t>TL1105SPF Tactile SMT</t>
        </is>
      </c>
      <c r="B56" t="inlineStr">
        <is>
          <t>4ms_Switch:Button_TL1105SPF160Q1RBLK</t>
        </is>
      </c>
    </row>
    <row r="57">
      <c r="A57" t="inlineStr">
        <is>
          <t>TL1105JAF RA with Cap</t>
        </is>
      </c>
      <c r="B57" t="inlineStr">
        <is>
          <t>4ms_Switch:Button_TL1105JAF160Q1RBLK</t>
        </is>
      </c>
    </row>
    <row r="58">
      <c r="A58" t="inlineStr">
        <is>
          <t>PTS526 SMT Tactile</t>
        </is>
      </c>
      <c r="B58" t="inlineStr">
        <is>
          <t>4ms_Switch:SW_Push_PTS526 SM15 SMTR2 LFS</t>
        </is>
      </c>
    </row>
    <row r="59">
      <c r="A59" t="inlineStr">
        <is>
          <t>PTS810</t>
        </is>
      </c>
      <c r="B59" t="inlineStr">
        <is>
          <t>4ms_Switch:Button_PTS810</t>
        </is>
      </c>
    </row>
    <row r="60">
      <c r="A60" t="inlineStr">
        <is>
          <t>B3F-4055</t>
        </is>
      </c>
      <c r="B60" t="inlineStr">
        <is>
          <t>4ms_Switch:Button_B3F-4055</t>
        </is>
      </c>
    </row>
    <row r="61">
      <c r="A61" t="inlineStr">
        <is>
          <t>1TS009A</t>
        </is>
      </c>
      <c r="B61" t="inlineStr">
        <is>
          <t>4ms_Switch:Button_1TS009A</t>
        </is>
      </c>
    </row>
    <row r="62">
      <c r="A62" t="inlineStr">
        <is>
          <t>SPST Momentary TS21</t>
        </is>
      </c>
      <c r="B62" t="inlineStr">
        <is>
          <t>4ms_Switch:Button_SPST_Mom_TS21</t>
        </is>
      </c>
    </row>
    <row r="63">
      <c r="A63" t="inlineStr">
        <is>
          <t>Tactile Pins 1+3 Shorted</t>
        </is>
      </c>
      <c r="B63" t="inlineStr">
        <is>
          <t>4ms_Switch:TactSwitch_Pins13Shorted</t>
        </is>
      </c>
    </row>
    <row r="64">
      <c r="A64" t="inlineStr">
        <is>
          <t>Toggle SPDT Sub-Mini 3-pos</t>
        </is>
      </c>
      <c r="B64" t="inlineStr">
        <is>
          <t>4ms_Switch:Toggle_SPDT_SubMini_3pos</t>
        </is>
      </c>
    </row>
    <row r="65">
      <c r="A65" t="inlineStr">
        <is>
          <t>Toggle SPDT Sub-Mini 2-pos</t>
        </is>
      </c>
      <c r="B65" t="inlineStr">
        <is>
          <t>4ms_Switch:Toggle_SPDT_SubMini_2pos</t>
        </is>
      </c>
    </row>
    <row r="66">
      <c r="A66" t="inlineStr">
        <is>
          <t>Encoder Rotary 11mm D-Shaft</t>
        </is>
      </c>
      <c r="B66" t="inlineStr">
        <is>
          <t>4ms_Switch:Encoder_Rotary_11mm_SPST_DShaft</t>
        </is>
      </c>
    </row>
    <row r="67">
      <c r="A67" t="inlineStr">
        <is>
          <t>Encoder Rotary 11mm PEC11R</t>
        </is>
      </c>
      <c r="B67" t="inlineStr">
        <is>
          <t>4ms_Switch:Encoder_Rotary_11mm_SPST_PEC11R</t>
        </is>
      </c>
    </row>
    <row r="68">
      <c r="A68" t="inlineStr">
        <is>
          <t>Encoder Rotary 12mm 24-Det</t>
        </is>
      </c>
      <c r="B68" t="inlineStr">
        <is>
          <t>4ms_Switch:Encoder_Rotary_12mm_24DET_HollowKnurled</t>
        </is>
      </c>
    </row>
    <row r="69">
      <c r="A69" t="inlineStr">
        <is>
          <t>Rocker 4-pin</t>
        </is>
      </c>
      <c r="B69" t="inlineStr">
        <is>
          <t>4ms_Switch:Rocker_4KD1R202A02RS</t>
        </is>
      </c>
    </row>
    <row r="70">
      <c r="A70" t="inlineStr">
        <is>
          <t>Rocker 3-pin</t>
        </is>
      </c>
      <c r="B70" t="inlineStr">
        <is>
          <t>4ms_Switch:Rocker_3KD1R202A02RS</t>
        </is>
      </c>
    </row>
    <row r="71">
      <c r="A71" t="inlineStr">
        <is>
          <t>DIP 2-pos</t>
        </is>
      </c>
      <c r="B71" t="inlineStr">
        <is>
          <t>4ms_Switch:SW_DIP_x02_CTS_219-2MST</t>
        </is>
      </c>
    </row>
    <row r="72">
      <c r="A72" t="inlineStr">
        <is>
          <t>DIP 3-pos</t>
        </is>
      </c>
      <c r="B72" t="inlineStr">
        <is>
          <t>4ms_Switch:SW_DIP_x03_CTS_219-3MST</t>
        </is>
      </c>
    </row>
    <row r="73">
      <c r="A73" t="inlineStr">
        <is>
          <t>Rotary 3-pos 6-pin</t>
        </is>
      </c>
      <c r="B73" t="inlineStr">
        <is>
          <t>4ms_Switch:SW_Rotary3x6</t>
        </is>
      </c>
    </row>
    <row r="74">
      <c r="A74" t="inlineStr">
        <is>
          <t>Slide SPST</t>
        </is>
      </c>
      <c r="B74" t="inlineStr">
        <is>
          <t>4ms_Switch:SPST_Slide_AS11CH</t>
        </is>
      </c>
    </row>
    <row r="75">
      <c r="A75" t="inlineStr">
        <is>
          <t>Slide DPDT</t>
        </is>
      </c>
      <c r="B75" t="inlineStr">
        <is>
          <t>4ms_Switch:Slide_DPDT_SS22D06</t>
        </is>
      </c>
    </row>
    <row r="76">
      <c r="A76" t="inlineStr">
        <is>
          <t>M3x10mm Hex WA-SNTI</t>
        </is>
      </c>
      <c r="B76" t="inlineStr">
        <is>
          <t>4ms_Hardware:Standoff_WA-SNTI_M3x10mm_Hex6mm</t>
        </is>
      </c>
    </row>
    <row r="77">
      <c r="A77" t="inlineStr">
        <is>
          <t>M3x6mm Hex WA-SNTI</t>
        </is>
      </c>
      <c r="B77" t="inlineStr">
        <is>
          <t>4ms_Hardware:Standoff_WA-SNTI_M3x6mm_Hex6mm</t>
        </is>
      </c>
    </row>
    <row r="78">
      <c r="A78" t="inlineStr">
        <is>
          <t>M3x15mm Hex WA-SNTI</t>
        </is>
      </c>
      <c r="B78" t="inlineStr">
        <is>
          <t>4ms_Hardware:Standoff_WA-SNTI_M3x15mm_Hex6mm</t>
        </is>
      </c>
    </row>
    <row r="79">
      <c r="A79" t="inlineStr">
        <is>
          <t>Mounting Post Base Support</t>
        </is>
      </c>
      <c r="B79" t="inlineStr">
        <is>
          <t>4ms_Hardware:Standoff_Mounting-Post_Base-Support</t>
        </is>
      </c>
    </row>
    <row r="80">
      <c r="A80" t="inlineStr">
        <is>
          <t>Nylon Spacer 11mm</t>
        </is>
      </c>
      <c r="B80" t="inlineStr">
        <is>
          <t>4ms_Hardware:Spacer Nylon, Unthreaded, Height=11mm, ID {gt}= 3mm, OD {lt} 6mm</t>
        </is>
      </c>
    </row>
    <row r="81">
      <c r="A81" t="inlineStr">
        <is>
          <t>Mounting Hole M3 (no pad)</t>
        </is>
      </c>
      <c r="B81" t="inlineStr">
        <is>
          <t>Mechanical:MountingHole</t>
        </is>
      </c>
    </row>
    <row r="82">
      <c r="A82" t="inlineStr">
        <is>
          <t>USB-C Molex 2171790001</t>
        </is>
      </c>
      <c r="B82" t="inlineStr">
        <is>
          <t>4ms_Connector:USB-C_Receptacle_Molex_2171790001</t>
        </is>
      </c>
    </row>
    <row r="83">
      <c r="A83" t="inlineStr">
        <is>
          <t>USB-C AdamTech</t>
        </is>
      </c>
      <c r="B83" t="inlineStr">
        <is>
          <t>4ms_Connector:USB-C_Receptacle_AdamTech_USB-C31-S-VT-CS4-BK-PP</t>
        </is>
      </c>
    </row>
    <row r="84">
      <c r="A84" t="inlineStr">
        <is>
          <t>USB-C GCT USB4730</t>
        </is>
      </c>
      <c r="B84" t="inlineStr">
        <is>
          <t>4ms_Connector:USB-C_Receptacle_GCT_USB4730-GF-A</t>
        </is>
      </c>
    </row>
    <row r="85">
      <c r="A85" t="inlineStr">
        <is>
          <t>USB Micro B</t>
        </is>
      </c>
      <c r="B85" t="inlineStr">
        <is>
          <t>4ms_Connector:USB_B_Micro_10118194-0011LF</t>
        </is>
      </c>
    </row>
    <row r="86">
      <c r="A86" t="inlineStr">
        <is>
          <t>microSD Vertical TH</t>
        </is>
      </c>
      <c r="B86" t="inlineStr">
        <is>
          <t>4ms_Connector:microSDCon_Vert_TH_PJS008U-3000</t>
        </is>
      </c>
    </row>
    <row r="87">
      <c r="A87" t="inlineStr">
        <is>
          <t>microSD SMT</t>
        </is>
      </c>
      <c r="B87" t="inlineStr">
        <is>
          <t>4ms_Connector:microSDCon_SMT_104031-0811</t>
        </is>
      </c>
    </row>
    <row r="88">
      <c r="A88" t="inlineStr">
        <is>
          <t>Silkscreen Label</t>
        </is>
      </c>
      <c r="B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2026-10-08T18:20:30Z</dcterms:created>
  <dcterms:modified xmlns:dcterms="http://purl.org/dc/terms/" xmlns:xsi="http://www.w3.org/2001/XMLSchema-instance" xsi:type="dcterms:W3CDTF">2026-10-08T18:20:30Z</dcterms:modified>
</cp:coreProperties>
</file>